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s\workspace24.4\SFWealthApp\Flatfiles\"/>
    </mc:Choice>
  </mc:AlternateContent>
  <xr:revisionPtr revIDLastSave="0" documentId="13_ncr:1_{B58ABA0C-17DF-4946-A97D-A65596443EAE}" xr6:coauthVersionLast="47" xr6:coauthVersionMax="47" xr10:uidLastSave="{00000000-0000-0000-0000-000000000000}"/>
  <bookViews>
    <workbookView xWindow="-28920" yWindow="-120" windowWidth="29040" windowHeight="15720" activeTab="1" xr2:uid="{0B52445C-646E-4D65-BBCA-7412B2FF12FB}"/>
  </bookViews>
  <sheets>
    <sheet name="Spend" sheetId="1" r:id="rId1"/>
    <sheet name="Wealth" sheetId="2" r:id="rId2"/>
    <sheet name="Rat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2" i="2"/>
  <c r="F3" i="3"/>
  <c r="F4" i="3"/>
  <c r="F5" i="3"/>
  <c r="F6" i="3"/>
  <c r="F7" i="3"/>
  <c r="F2" i="3"/>
  <c r="E3" i="3"/>
  <c r="E4" i="3"/>
  <c r="E5" i="3"/>
  <c r="E6" i="3"/>
  <c r="E7" i="3"/>
  <c r="E2" i="3"/>
  <c r="D3" i="3"/>
  <c r="D4" i="3"/>
  <c r="D5" i="3"/>
  <c r="D6" i="3"/>
  <c r="D7" i="3"/>
  <c r="D2" i="3"/>
</calcChain>
</file>

<file path=xl/sharedStrings.xml><?xml version="1.0" encoding="utf-8"?>
<sst xmlns="http://schemas.openxmlformats.org/spreadsheetml/2006/main" count="253" uniqueCount="38">
  <si>
    <t>YearMonth</t>
  </si>
  <si>
    <t>Spend Category</t>
  </si>
  <si>
    <t>MonthlySpend</t>
  </si>
  <si>
    <t>202503</t>
  </si>
  <si>
    <t>Automobile</t>
  </si>
  <si>
    <t>Clothing and Personal</t>
  </si>
  <si>
    <t>Discretionary</t>
  </si>
  <si>
    <t>Entertainment</t>
  </si>
  <si>
    <t>Fees</t>
  </si>
  <si>
    <t>Groceries</t>
  </si>
  <si>
    <t>Home</t>
  </si>
  <si>
    <t>Insurance</t>
  </si>
  <si>
    <t>Misc</t>
  </si>
  <si>
    <t>Restaurant</t>
  </si>
  <si>
    <t>Wireless</t>
  </si>
  <si>
    <t>202504</t>
  </si>
  <si>
    <t>Electric</t>
  </si>
  <si>
    <t>Phone</t>
  </si>
  <si>
    <t>Water</t>
  </si>
  <si>
    <t>202505</t>
  </si>
  <si>
    <t>202506</t>
  </si>
  <si>
    <t>202507</t>
  </si>
  <si>
    <t>202508</t>
  </si>
  <si>
    <t>202509</t>
  </si>
  <si>
    <t>Managed ETF</t>
  </si>
  <si>
    <t>Managed Retirement</t>
  </si>
  <si>
    <t>Active Trading</t>
  </si>
  <si>
    <t>Finance One</t>
  </si>
  <si>
    <t>WealthCategory</t>
  </si>
  <si>
    <t>TotalSpend</t>
  </si>
  <si>
    <t>TotalWealth</t>
  </si>
  <si>
    <t>WealthAmount</t>
  </si>
  <si>
    <t>DebtWealthRatio</t>
  </si>
  <si>
    <t>WealthPct</t>
  </si>
  <si>
    <t>DebtPct</t>
  </si>
  <si>
    <t>Total</t>
  </si>
  <si>
    <t>DebtRatio</t>
  </si>
  <si>
    <t>StatementDate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</si>
</sst>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C99D5-77C2-4BE2-AA87-5C4D44F1C642}">
  <dimension ref="A1:C91"/>
  <sheetViews>
    <sheetView topLeftCell="A73" workbookViewId="0">
      <selection activeCell="C66" sqref="C66:C7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1437.39</v>
      </c>
    </row>
    <row r="3" spans="1:3" x14ac:dyDescent="0.25">
      <c r="A3" t="s">
        <v>3</v>
      </c>
      <c r="B3" t="s">
        <v>5</v>
      </c>
      <c r="C3">
        <v>1198.02</v>
      </c>
    </row>
    <row r="4" spans="1:3" x14ac:dyDescent="0.25">
      <c r="A4" t="s">
        <v>3</v>
      </c>
      <c r="B4" t="s">
        <v>6</v>
      </c>
      <c r="C4">
        <v>383.96</v>
      </c>
    </row>
    <row r="5" spans="1:3" x14ac:dyDescent="0.25">
      <c r="A5" t="s">
        <v>3</v>
      </c>
      <c r="B5" t="s">
        <v>7</v>
      </c>
      <c r="C5">
        <v>1071.31</v>
      </c>
    </row>
    <row r="6" spans="1:3" x14ac:dyDescent="0.25">
      <c r="A6" t="s">
        <v>3</v>
      </c>
      <c r="B6" t="s">
        <v>8</v>
      </c>
      <c r="C6">
        <v>4</v>
      </c>
    </row>
    <row r="7" spans="1:3" x14ac:dyDescent="0.25">
      <c r="A7" t="s">
        <v>3</v>
      </c>
      <c r="B7" t="s">
        <v>9</v>
      </c>
      <c r="C7">
        <v>322.21000000000004</v>
      </c>
    </row>
    <row r="8" spans="1:3" x14ac:dyDescent="0.25">
      <c r="A8" t="s">
        <v>3</v>
      </c>
      <c r="B8" t="s">
        <v>10</v>
      </c>
      <c r="C8">
        <v>476.89</v>
      </c>
    </row>
    <row r="9" spans="1:3" x14ac:dyDescent="0.25">
      <c r="A9" t="s">
        <v>3</v>
      </c>
      <c r="B9" t="s">
        <v>11</v>
      </c>
      <c r="C9">
        <v>384.71999999999997</v>
      </c>
    </row>
    <row r="10" spans="1:3" x14ac:dyDescent="0.25">
      <c r="A10" t="s">
        <v>3</v>
      </c>
      <c r="B10" t="s">
        <v>12</v>
      </c>
      <c r="C10">
        <v>338.05</v>
      </c>
    </row>
    <row r="11" spans="1:3" x14ac:dyDescent="0.25">
      <c r="A11" t="s">
        <v>3</v>
      </c>
      <c r="B11" t="s">
        <v>13</v>
      </c>
      <c r="C11">
        <v>458.70000000000005</v>
      </c>
    </row>
    <row r="12" spans="1:3" x14ac:dyDescent="0.25">
      <c r="A12" t="s">
        <v>3</v>
      </c>
      <c r="B12" t="s">
        <v>14</v>
      </c>
      <c r="C12">
        <v>754.98</v>
      </c>
    </row>
    <row r="13" spans="1:3" x14ac:dyDescent="0.25">
      <c r="A13" t="s">
        <v>15</v>
      </c>
      <c r="B13" t="s">
        <v>4</v>
      </c>
      <c r="C13">
        <v>923.13999999999987</v>
      </c>
    </row>
    <row r="14" spans="1:3" x14ac:dyDescent="0.25">
      <c r="A14" t="s">
        <v>15</v>
      </c>
      <c r="B14" t="s">
        <v>5</v>
      </c>
      <c r="C14">
        <v>942.9</v>
      </c>
    </row>
    <row r="15" spans="1:3" x14ac:dyDescent="0.25">
      <c r="A15" t="s">
        <v>15</v>
      </c>
      <c r="B15" t="s">
        <v>6</v>
      </c>
      <c r="C15">
        <v>233.78</v>
      </c>
    </row>
    <row r="16" spans="1:3" x14ac:dyDescent="0.25">
      <c r="A16" t="s">
        <v>15</v>
      </c>
      <c r="B16" t="s">
        <v>16</v>
      </c>
      <c r="C16">
        <v>259.68</v>
      </c>
    </row>
    <row r="17" spans="1:3" x14ac:dyDescent="0.25">
      <c r="A17" t="s">
        <v>15</v>
      </c>
      <c r="B17" t="s">
        <v>7</v>
      </c>
      <c r="C17">
        <v>641.87</v>
      </c>
    </row>
    <row r="18" spans="1:3" x14ac:dyDescent="0.25">
      <c r="A18" t="s">
        <v>15</v>
      </c>
      <c r="B18" t="s">
        <v>8</v>
      </c>
      <c r="C18">
        <v>33.5</v>
      </c>
    </row>
    <row r="19" spans="1:3" x14ac:dyDescent="0.25">
      <c r="A19" t="s">
        <v>15</v>
      </c>
      <c r="B19" t="s">
        <v>9</v>
      </c>
      <c r="C19">
        <v>181.71</v>
      </c>
    </row>
    <row r="20" spans="1:3" x14ac:dyDescent="0.25">
      <c r="A20" t="s">
        <v>15</v>
      </c>
      <c r="B20" t="s">
        <v>10</v>
      </c>
      <c r="C20">
        <v>127.45</v>
      </c>
    </row>
    <row r="21" spans="1:3" x14ac:dyDescent="0.25">
      <c r="A21" t="s">
        <v>15</v>
      </c>
      <c r="B21" t="s">
        <v>11</v>
      </c>
      <c r="C21">
        <v>246.94</v>
      </c>
    </row>
    <row r="22" spans="1:3" x14ac:dyDescent="0.25">
      <c r="A22" t="s">
        <v>15</v>
      </c>
      <c r="B22" t="s">
        <v>12</v>
      </c>
      <c r="C22">
        <v>2699.87</v>
      </c>
    </row>
    <row r="23" spans="1:3" x14ac:dyDescent="0.25">
      <c r="A23" t="s">
        <v>15</v>
      </c>
      <c r="B23" t="s">
        <v>17</v>
      </c>
      <c r="C23">
        <v>525.9</v>
      </c>
    </row>
    <row r="24" spans="1:3" x14ac:dyDescent="0.25">
      <c r="A24" t="s">
        <v>15</v>
      </c>
      <c r="B24" t="s">
        <v>13</v>
      </c>
      <c r="C24">
        <v>618.54</v>
      </c>
    </row>
    <row r="25" spans="1:3" x14ac:dyDescent="0.25">
      <c r="A25" t="s">
        <v>15</v>
      </c>
      <c r="B25" t="s">
        <v>18</v>
      </c>
      <c r="C25">
        <v>140.13999999999999</v>
      </c>
    </row>
    <row r="26" spans="1:3" x14ac:dyDescent="0.25">
      <c r="A26" t="s">
        <v>15</v>
      </c>
      <c r="B26" t="s">
        <v>14</v>
      </c>
      <c r="C26">
        <v>867.7600000000001</v>
      </c>
    </row>
    <row r="27" spans="1:3" x14ac:dyDescent="0.25">
      <c r="A27" t="s">
        <v>19</v>
      </c>
      <c r="B27" t="s">
        <v>4</v>
      </c>
      <c r="C27">
        <v>2062.4499999999998</v>
      </c>
    </row>
    <row r="28" spans="1:3" x14ac:dyDescent="0.25">
      <c r="A28" t="s">
        <v>19</v>
      </c>
      <c r="B28" t="s">
        <v>5</v>
      </c>
      <c r="C28">
        <v>1667.8799999999999</v>
      </c>
    </row>
    <row r="29" spans="1:3" x14ac:dyDescent="0.25">
      <c r="A29" t="s">
        <v>19</v>
      </c>
      <c r="B29" t="s">
        <v>6</v>
      </c>
      <c r="C29">
        <v>383.96</v>
      </c>
    </row>
    <row r="30" spans="1:3" x14ac:dyDescent="0.25">
      <c r="A30" t="s">
        <v>19</v>
      </c>
      <c r="B30" t="s">
        <v>7</v>
      </c>
      <c r="C30">
        <v>2121.6</v>
      </c>
    </row>
    <row r="31" spans="1:3" x14ac:dyDescent="0.25">
      <c r="A31" t="s">
        <v>19</v>
      </c>
      <c r="B31" t="s">
        <v>8</v>
      </c>
      <c r="C31">
        <v>33.5</v>
      </c>
    </row>
    <row r="32" spans="1:3" x14ac:dyDescent="0.25">
      <c r="A32" t="s">
        <v>19</v>
      </c>
      <c r="B32" t="s">
        <v>9</v>
      </c>
      <c r="C32">
        <v>288.05999999999995</v>
      </c>
    </row>
    <row r="33" spans="1:3" x14ac:dyDescent="0.25">
      <c r="A33" t="s">
        <v>19</v>
      </c>
      <c r="B33" t="s">
        <v>10</v>
      </c>
      <c r="C33">
        <v>298.88</v>
      </c>
    </row>
    <row r="34" spans="1:3" x14ac:dyDescent="0.25">
      <c r="A34" t="s">
        <v>19</v>
      </c>
      <c r="B34" t="s">
        <v>11</v>
      </c>
      <c r="C34">
        <v>176.21</v>
      </c>
    </row>
    <row r="35" spans="1:3" x14ac:dyDescent="0.25">
      <c r="A35" t="s">
        <v>19</v>
      </c>
      <c r="B35" t="s">
        <v>12</v>
      </c>
      <c r="C35">
        <v>2499.79</v>
      </c>
    </row>
    <row r="36" spans="1:3" x14ac:dyDescent="0.25">
      <c r="A36" t="s">
        <v>19</v>
      </c>
      <c r="B36" t="s">
        <v>17</v>
      </c>
      <c r="C36">
        <v>46.32</v>
      </c>
    </row>
    <row r="37" spans="1:3" x14ac:dyDescent="0.25">
      <c r="A37" t="s">
        <v>19</v>
      </c>
      <c r="B37" t="s">
        <v>13</v>
      </c>
      <c r="C37">
        <v>651.04</v>
      </c>
    </row>
    <row r="38" spans="1:3" x14ac:dyDescent="0.25">
      <c r="A38" t="s">
        <v>19</v>
      </c>
      <c r="B38" t="s">
        <v>14</v>
      </c>
      <c r="C38">
        <v>397.39</v>
      </c>
    </row>
    <row r="39" spans="1:3" x14ac:dyDescent="0.25">
      <c r="A39" t="s">
        <v>20</v>
      </c>
      <c r="B39" t="s">
        <v>4</v>
      </c>
      <c r="C39">
        <v>1463.7899999999997</v>
      </c>
    </row>
    <row r="40" spans="1:3" x14ac:dyDescent="0.25">
      <c r="A40" t="s">
        <v>20</v>
      </c>
      <c r="B40" t="s">
        <v>5</v>
      </c>
      <c r="C40">
        <v>1586.15</v>
      </c>
    </row>
    <row r="41" spans="1:3" x14ac:dyDescent="0.25">
      <c r="A41" t="s">
        <v>20</v>
      </c>
      <c r="B41" t="s">
        <v>16</v>
      </c>
      <c r="C41">
        <v>259.68</v>
      </c>
    </row>
    <row r="42" spans="1:3" x14ac:dyDescent="0.25">
      <c r="A42" t="s">
        <v>20</v>
      </c>
      <c r="B42" t="s">
        <v>7</v>
      </c>
      <c r="C42">
        <v>1143.6699999999998</v>
      </c>
    </row>
    <row r="43" spans="1:3" x14ac:dyDescent="0.25">
      <c r="A43" t="s">
        <v>20</v>
      </c>
      <c r="B43" t="s">
        <v>8</v>
      </c>
      <c r="C43">
        <v>29</v>
      </c>
    </row>
    <row r="44" spans="1:3" x14ac:dyDescent="0.25">
      <c r="A44" t="s">
        <v>20</v>
      </c>
      <c r="B44" t="s">
        <v>9</v>
      </c>
      <c r="C44">
        <v>342.97</v>
      </c>
    </row>
    <row r="45" spans="1:3" x14ac:dyDescent="0.25">
      <c r="A45" t="s">
        <v>20</v>
      </c>
      <c r="B45" t="s">
        <v>10</v>
      </c>
      <c r="C45">
        <v>366.62</v>
      </c>
    </row>
    <row r="46" spans="1:3" x14ac:dyDescent="0.25">
      <c r="A46" t="s">
        <v>20</v>
      </c>
      <c r="B46" t="s">
        <v>11</v>
      </c>
      <c r="C46">
        <v>593.23</v>
      </c>
    </row>
    <row r="47" spans="1:3" x14ac:dyDescent="0.25">
      <c r="A47" t="s">
        <v>20</v>
      </c>
      <c r="B47" t="s">
        <v>12</v>
      </c>
      <c r="C47">
        <v>1801.4</v>
      </c>
    </row>
    <row r="48" spans="1:3" x14ac:dyDescent="0.25">
      <c r="A48" t="s">
        <v>20</v>
      </c>
      <c r="B48" t="s">
        <v>17</v>
      </c>
      <c r="C48">
        <v>532.42999999999995</v>
      </c>
    </row>
    <row r="49" spans="1:3" x14ac:dyDescent="0.25">
      <c r="A49" t="s">
        <v>20</v>
      </c>
      <c r="B49" t="s">
        <v>13</v>
      </c>
      <c r="C49">
        <v>576.63</v>
      </c>
    </row>
    <row r="50" spans="1:3" x14ac:dyDescent="0.25">
      <c r="A50" t="s">
        <v>20</v>
      </c>
      <c r="B50" t="s">
        <v>18</v>
      </c>
      <c r="C50">
        <v>70.069999999999993</v>
      </c>
    </row>
    <row r="51" spans="1:3" x14ac:dyDescent="0.25">
      <c r="A51" t="s">
        <v>20</v>
      </c>
      <c r="B51" t="s">
        <v>14</v>
      </c>
      <c r="C51">
        <v>1461.7800000000002</v>
      </c>
    </row>
    <row r="52" spans="1:3" x14ac:dyDescent="0.25">
      <c r="A52" t="s">
        <v>21</v>
      </c>
      <c r="B52" t="s">
        <v>4</v>
      </c>
      <c r="C52">
        <v>1922.24</v>
      </c>
    </row>
    <row r="53" spans="1:3" x14ac:dyDescent="0.25">
      <c r="A53" t="s">
        <v>21</v>
      </c>
      <c r="B53" t="s">
        <v>5</v>
      </c>
      <c r="C53">
        <v>1167.1999999999998</v>
      </c>
    </row>
    <row r="54" spans="1:3" x14ac:dyDescent="0.25">
      <c r="A54" t="s">
        <v>21</v>
      </c>
      <c r="B54" t="s">
        <v>6</v>
      </c>
      <c r="C54">
        <v>183.96</v>
      </c>
    </row>
    <row r="55" spans="1:3" x14ac:dyDescent="0.25">
      <c r="A55" t="s">
        <v>21</v>
      </c>
      <c r="B55" t="s">
        <v>16</v>
      </c>
      <c r="C55">
        <v>129.84</v>
      </c>
    </row>
    <row r="56" spans="1:3" x14ac:dyDescent="0.25">
      <c r="A56" t="s">
        <v>21</v>
      </c>
      <c r="B56" t="s">
        <v>7</v>
      </c>
      <c r="C56">
        <v>1421.97</v>
      </c>
    </row>
    <row r="57" spans="1:3" x14ac:dyDescent="0.25">
      <c r="A57" t="s">
        <v>21</v>
      </c>
      <c r="B57" t="s">
        <v>8</v>
      </c>
      <c r="C57">
        <v>21</v>
      </c>
    </row>
    <row r="58" spans="1:3" x14ac:dyDescent="0.25">
      <c r="A58" t="s">
        <v>21</v>
      </c>
      <c r="B58" t="s">
        <v>9</v>
      </c>
      <c r="C58">
        <v>366.72</v>
      </c>
    </row>
    <row r="59" spans="1:3" x14ac:dyDescent="0.25">
      <c r="A59" t="s">
        <v>21</v>
      </c>
      <c r="B59" t="s">
        <v>10</v>
      </c>
      <c r="C59">
        <v>137.72</v>
      </c>
    </row>
    <row r="60" spans="1:3" x14ac:dyDescent="0.25">
      <c r="A60" t="s">
        <v>21</v>
      </c>
      <c r="B60" t="s">
        <v>11</v>
      </c>
      <c r="C60">
        <v>346.28999999999996</v>
      </c>
    </row>
    <row r="61" spans="1:3" x14ac:dyDescent="0.25">
      <c r="A61" t="s">
        <v>21</v>
      </c>
      <c r="B61" t="s">
        <v>12</v>
      </c>
      <c r="C61">
        <v>978.68999999999994</v>
      </c>
    </row>
    <row r="62" spans="1:3" x14ac:dyDescent="0.25">
      <c r="A62" t="s">
        <v>21</v>
      </c>
      <c r="B62" t="s">
        <v>17</v>
      </c>
      <c r="C62">
        <v>325.90000000000003</v>
      </c>
    </row>
    <row r="63" spans="1:3" x14ac:dyDescent="0.25">
      <c r="A63" t="s">
        <v>21</v>
      </c>
      <c r="B63" t="s">
        <v>13</v>
      </c>
      <c r="C63">
        <v>717.98</v>
      </c>
    </row>
    <row r="64" spans="1:3" x14ac:dyDescent="0.25">
      <c r="A64" t="s">
        <v>21</v>
      </c>
      <c r="B64" t="s">
        <v>18</v>
      </c>
      <c r="C64">
        <v>108.45</v>
      </c>
    </row>
    <row r="65" spans="1:3" x14ac:dyDescent="0.25">
      <c r="A65" t="s">
        <v>21</v>
      </c>
      <c r="B65" t="s">
        <v>14</v>
      </c>
      <c r="C65">
        <v>389.07000000000005</v>
      </c>
    </row>
    <row r="66" spans="1:3" x14ac:dyDescent="0.25">
      <c r="A66" t="s">
        <v>22</v>
      </c>
      <c r="B66" t="s">
        <v>4</v>
      </c>
      <c r="C66">
        <v>1266.8599999999999</v>
      </c>
    </row>
    <row r="67" spans="1:3" x14ac:dyDescent="0.25">
      <c r="A67" t="s">
        <v>22</v>
      </c>
      <c r="B67" t="s">
        <v>5</v>
      </c>
      <c r="C67">
        <v>858.69999999999993</v>
      </c>
    </row>
    <row r="68" spans="1:3" x14ac:dyDescent="0.25">
      <c r="A68" t="s">
        <v>22</v>
      </c>
      <c r="B68" t="s">
        <v>6</v>
      </c>
      <c r="C68">
        <v>183.96</v>
      </c>
    </row>
    <row r="69" spans="1:3" x14ac:dyDescent="0.25">
      <c r="A69" t="s">
        <v>22</v>
      </c>
      <c r="B69" t="s">
        <v>16</v>
      </c>
      <c r="C69">
        <v>129.84</v>
      </c>
    </row>
    <row r="70" spans="1:3" x14ac:dyDescent="0.25">
      <c r="A70" t="s">
        <v>22</v>
      </c>
      <c r="B70" t="s">
        <v>7</v>
      </c>
      <c r="C70">
        <v>423.28</v>
      </c>
    </row>
    <row r="71" spans="1:3" x14ac:dyDescent="0.25">
      <c r="A71" t="s">
        <v>22</v>
      </c>
      <c r="B71" t="s">
        <v>8</v>
      </c>
      <c r="C71">
        <v>12</v>
      </c>
    </row>
    <row r="72" spans="1:3" x14ac:dyDescent="0.25">
      <c r="A72" t="s">
        <v>22</v>
      </c>
      <c r="B72" t="s">
        <v>9</v>
      </c>
      <c r="C72">
        <v>328.86</v>
      </c>
    </row>
    <row r="73" spans="1:3" x14ac:dyDescent="0.25">
      <c r="A73" t="s">
        <v>22</v>
      </c>
      <c r="B73" t="s">
        <v>10</v>
      </c>
      <c r="C73">
        <v>868.37999999999988</v>
      </c>
    </row>
    <row r="74" spans="1:3" x14ac:dyDescent="0.25">
      <c r="A74" t="s">
        <v>22</v>
      </c>
      <c r="B74" t="s">
        <v>11</v>
      </c>
      <c r="C74">
        <v>560.92999999999995</v>
      </c>
    </row>
    <row r="75" spans="1:3" x14ac:dyDescent="0.25">
      <c r="A75" t="s">
        <v>22</v>
      </c>
      <c r="B75" t="s">
        <v>12</v>
      </c>
      <c r="C75">
        <v>2699.55</v>
      </c>
    </row>
    <row r="76" spans="1:3" x14ac:dyDescent="0.25">
      <c r="A76" t="s">
        <v>22</v>
      </c>
      <c r="B76" t="s">
        <v>17</v>
      </c>
      <c r="C76">
        <v>39.79</v>
      </c>
    </row>
    <row r="77" spans="1:3" x14ac:dyDescent="0.25">
      <c r="A77" t="s">
        <v>22</v>
      </c>
      <c r="B77" t="s">
        <v>13</v>
      </c>
      <c r="C77">
        <v>1140.2500000000002</v>
      </c>
    </row>
    <row r="78" spans="1:3" x14ac:dyDescent="0.25">
      <c r="A78" t="s">
        <v>22</v>
      </c>
      <c r="B78" t="s">
        <v>18</v>
      </c>
      <c r="C78">
        <v>170.07</v>
      </c>
    </row>
    <row r="79" spans="1:3" x14ac:dyDescent="0.25">
      <c r="A79" t="s">
        <v>22</v>
      </c>
      <c r="B79" t="s">
        <v>14</v>
      </c>
      <c r="C79">
        <v>867.76</v>
      </c>
    </row>
    <row r="80" spans="1:3" x14ac:dyDescent="0.25">
      <c r="A80" t="s">
        <v>23</v>
      </c>
      <c r="B80" t="s">
        <v>4</v>
      </c>
      <c r="C80">
        <v>550.77</v>
      </c>
    </row>
    <row r="81" spans="1:3" x14ac:dyDescent="0.25">
      <c r="A81" t="s">
        <v>23</v>
      </c>
      <c r="B81" t="s">
        <v>5</v>
      </c>
      <c r="C81">
        <v>753.73</v>
      </c>
    </row>
    <row r="82" spans="1:3" x14ac:dyDescent="0.25">
      <c r="A82" t="s">
        <v>23</v>
      </c>
      <c r="B82" t="s">
        <v>6</v>
      </c>
      <c r="C82">
        <v>283.95999999999998</v>
      </c>
    </row>
    <row r="83" spans="1:3" x14ac:dyDescent="0.25">
      <c r="A83" t="s">
        <v>23</v>
      </c>
      <c r="B83" t="s">
        <v>7</v>
      </c>
      <c r="C83">
        <v>876.1</v>
      </c>
    </row>
    <row r="84" spans="1:3" x14ac:dyDescent="0.25">
      <c r="A84" t="s">
        <v>23</v>
      </c>
      <c r="B84" t="s">
        <v>8</v>
      </c>
      <c r="C84">
        <v>17</v>
      </c>
    </row>
    <row r="85" spans="1:3" x14ac:dyDescent="0.25">
      <c r="A85" t="s">
        <v>23</v>
      </c>
      <c r="B85" t="s">
        <v>9</v>
      </c>
      <c r="C85">
        <v>102.73</v>
      </c>
    </row>
    <row r="86" spans="1:3" x14ac:dyDescent="0.25">
      <c r="A86" t="s">
        <v>23</v>
      </c>
      <c r="B86" t="s">
        <v>10</v>
      </c>
      <c r="C86">
        <v>376.98</v>
      </c>
    </row>
    <row r="87" spans="1:3" x14ac:dyDescent="0.25">
      <c r="A87" t="s">
        <v>23</v>
      </c>
      <c r="B87" t="s">
        <v>12</v>
      </c>
      <c r="C87">
        <v>233.91</v>
      </c>
    </row>
    <row r="88" spans="1:3" x14ac:dyDescent="0.25">
      <c r="A88" t="s">
        <v>23</v>
      </c>
      <c r="B88" t="s">
        <v>17</v>
      </c>
      <c r="C88">
        <v>46.32</v>
      </c>
    </row>
    <row r="89" spans="1:3" x14ac:dyDescent="0.25">
      <c r="A89" t="s">
        <v>23</v>
      </c>
      <c r="B89" t="s">
        <v>13</v>
      </c>
      <c r="C89">
        <v>107.35</v>
      </c>
    </row>
    <row r="90" spans="1:3" x14ac:dyDescent="0.25">
      <c r="A90" t="s">
        <v>23</v>
      </c>
      <c r="B90" t="s">
        <v>18</v>
      </c>
      <c r="C90">
        <v>70.069999999999993</v>
      </c>
    </row>
    <row r="91" spans="1:3" x14ac:dyDescent="0.25">
      <c r="A91" t="s">
        <v>23</v>
      </c>
      <c r="B91" t="s">
        <v>14</v>
      </c>
      <c r="C91">
        <v>624.42000000000007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4A2C-2062-4BBC-A4E3-9FAF0DCBF473}">
  <dimension ref="A1:D61"/>
  <sheetViews>
    <sheetView tabSelected="1" topLeftCell="A32" workbookViewId="0">
      <selection activeCell="D2" sqref="D2:D61"/>
    </sheetView>
  </sheetViews>
  <sheetFormatPr defaultRowHeight="15" x14ac:dyDescent="0.25"/>
  <cols>
    <col min="1" max="1" width="19.28515625" bestFit="1" customWidth="1"/>
  </cols>
  <sheetData>
    <row r="1" spans="1:4" x14ac:dyDescent="0.25">
      <c r="A1" t="s">
        <v>28</v>
      </c>
      <c r="B1" t="s">
        <v>31</v>
      </c>
      <c r="C1" t="s">
        <v>0</v>
      </c>
      <c r="D1" t="s">
        <v>37</v>
      </c>
    </row>
    <row r="2" spans="1:4" x14ac:dyDescent="0.25">
      <c r="A2" t="s">
        <v>24</v>
      </c>
      <c r="B2">
        <v>126912</v>
      </c>
      <c r="C2">
        <v>202408</v>
      </c>
      <c r="D2" t="str">
        <f>LEFT(C2,4) &amp; "-" &amp; RIGHT(C2,2) &amp; "-01"</f>
        <v>2024-08-01</v>
      </c>
    </row>
    <row r="3" spans="1:4" x14ac:dyDescent="0.25">
      <c r="A3" t="s">
        <v>25</v>
      </c>
      <c r="B3">
        <v>141894</v>
      </c>
      <c r="C3">
        <v>202408</v>
      </c>
      <c r="D3" t="str">
        <f t="shared" ref="D3:D61" si="0">LEFT(C3,4) &amp; "-" &amp; RIGHT(C3,2) &amp; "-01"</f>
        <v>2024-08-01</v>
      </c>
    </row>
    <row r="4" spans="1:4" x14ac:dyDescent="0.25">
      <c r="A4" t="s">
        <v>26</v>
      </c>
      <c r="B4">
        <v>240972</v>
      </c>
      <c r="C4">
        <v>202408</v>
      </c>
      <c r="D4" t="str">
        <f t="shared" si="0"/>
        <v>2024-08-01</v>
      </c>
    </row>
    <row r="5" spans="1:4" x14ac:dyDescent="0.25">
      <c r="A5" t="s">
        <v>27</v>
      </c>
      <c r="B5">
        <v>28645</v>
      </c>
      <c r="C5">
        <v>202408</v>
      </c>
      <c r="D5" t="str">
        <f t="shared" si="0"/>
        <v>2024-08-01</v>
      </c>
    </row>
    <row r="6" spans="1:4" x14ac:dyDescent="0.25">
      <c r="A6" t="s">
        <v>24</v>
      </c>
      <c r="B6">
        <v>123114</v>
      </c>
      <c r="C6">
        <v>202409</v>
      </c>
      <c r="D6" t="str">
        <f t="shared" si="0"/>
        <v>2024-09-01</v>
      </c>
    </row>
    <row r="7" spans="1:4" x14ac:dyDescent="0.25">
      <c r="A7" t="s">
        <v>25</v>
      </c>
      <c r="B7">
        <v>137385</v>
      </c>
      <c r="C7">
        <v>202409</v>
      </c>
      <c r="D7" t="str">
        <f t="shared" si="0"/>
        <v>2024-09-01</v>
      </c>
    </row>
    <row r="8" spans="1:4" x14ac:dyDescent="0.25">
      <c r="A8" t="s">
        <v>26</v>
      </c>
      <c r="B8">
        <v>232637</v>
      </c>
      <c r="C8">
        <v>202409</v>
      </c>
      <c r="D8" t="str">
        <f t="shared" si="0"/>
        <v>2024-09-01</v>
      </c>
    </row>
    <row r="9" spans="1:4" x14ac:dyDescent="0.25">
      <c r="A9" t="s">
        <v>27</v>
      </c>
      <c r="B9">
        <v>26543</v>
      </c>
      <c r="C9">
        <v>202409</v>
      </c>
      <c r="D9" t="str">
        <f t="shared" si="0"/>
        <v>2024-09-01</v>
      </c>
    </row>
    <row r="10" spans="1:4" x14ac:dyDescent="0.25">
      <c r="A10" t="s">
        <v>25</v>
      </c>
      <c r="B10">
        <v>127294</v>
      </c>
      <c r="C10">
        <v>202410</v>
      </c>
      <c r="D10" t="str">
        <f t="shared" si="0"/>
        <v>2024-10-01</v>
      </c>
    </row>
    <row r="11" spans="1:4" x14ac:dyDescent="0.25">
      <c r="A11" t="s">
        <v>26</v>
      </c>
      <c r="B11">
        <v>232964</v>
      </c>
      <c r="C11">
        <v>202410</v>
      </c>
      <c r="D11" t="str">
        <f t="shared" si="0"/>
        <v>2024-10-01</v>
      </c>
    </row>
    <row r="12" spans="1:4" x14ac:dyDescent="0.25">
      <c r="A12" t="s">
        <v>27</v>
      </c>
      <c r="B12">
        <v>30798</v>
      </c>
      <c r="C12">
        <v>202410</v>
      </c>
      <c r="D12" t="str">
        <f t="shared" si="0"/>
        <v>2024-10-01</v>
      </c>
    </row>
    <row r="13" spans="1:4" x14ac:dyDescent="0.25">
      <c r="A13" t="s">
        <v>25</v>
      </c>
      <c r="B13">
        <v>123423</v>
      </c>
      <c r="C13">
        <v>202411</v>
      </c>
      <c r="D13" t="str">
        <f t="shared" si="0"/>
        <v>2024-11-01</v>
      </c>
    </row>
    <row r="14" spans="1:4" x14ac:dyDescent="0.25">
      <c r="A14" t="s">
        <v>26</v>
      </c>
      <c r="B14">
        <v>233252</v>
      </c>
      <c r="C14">
        <v>202411</v>
      </c>
      <c r="D14" t="str">
        <f t="shared" si="0"/>
        <v>2024-11-01</v>
      </c>
    </row>
    <row r="15" spans="1:4" x14ac:dyDescent="0.25">
      <c r="A15" t="s">
        <v>27</v>
      </c>
      <c r="B15">
        <v>18263</v>
      </c>
      <c r="C15">
        <v>202411</v>
      </c>
      <c r="D15" t="str">
        <f t="shared" si="0"/>
        <v>2024-11-01</v>
      </c>
    </row>
    <row r="16" spans="1:4" x14ac:dyDescent="0.25">
      <c r="A16" t="s">
        <v>25</v>
      </c>
      <c r="B16">
        <v>127901</v>
      </c>
      <c r="C16">
        <v>202412</v>
      </c>
      <c r="D16" t="str">
        <f t="shared" si="0"/>
        <v>2024-12-01</v>
      </c>
    </row>
    <row r="17" spans="1:4" x14ac:dyDescent="0.25">
      <c r="A17" t="s">
        <v>26</v>
      </c>
      <c r="B17">
        <v>236218</v>
      </c>
      <c r="C17">
        <v>202412</v>
      </c>
      <c r="D17" t="str">
        <f t="shared" si="0"/>
        <v>2024-12-01</v>
      </c>
    </row>
    <row r="18" spans="1:4" x14ac:dyDescent="0.25">
      <c r="A18" t="s">
        <v>27</v>
      </c>
      <c r="B18">
        <v>21370</v>
      </c>
      <c r="C18">
        <v>202412</v>
      </c>
      <c r="D18" t="str">
        <f t="shared" si="0"/>
        <v>2024-12-01</v>
      </c>
    </row>
    <row r="19" spans="1:4" x14ac:dyDescent="0.25">
      <c r="A19" t="s">
        <v>25</v>
      </c>
      <c r="B19">
        <v>126392</v>
      </c>
      <c r="C19">
        <v>202501</v>
      </c>
      <c r="D19" t="str">
        <f t="shared" si="0"/>
        <v>2025-01-01</v>
      </c>
    </row>
    <row r="20" spans="1:4" x14ac:dyDescent="0.25">
      <c r="A20" t="s">
        <v>26</v>
      </c>
      <c r="B20">
        <v>237728</v>
      </c>
      <c r="C20">
        <v>202501</v>
      </c>
      <c r="D20" t="str">
        <f t="shared" si="0"/>
        <v>2025-01-01</v>
      </c>
    </row>
    <row r="21" spans="1:4" x14ac:dyDescent="0.25">
      <c r="A21" t="s">
        <v>27</v>
      </c>
      <c r="B21">
        <v>30662</v>
      </c>
      <c r="C21">
        <v>202501</v>
      </c>
      <c r="D21" t="str">
        <f t="shared" si="0"/>
        <v>2025-01-01</v>
      </c>
    </row>
    <row r="22" spans="1:4" x14ac:dyDescent="0.25">
      <c r="A22" t="s">
        <v>25</v>
      </c>
      <c r="B22">
        <v>122901</v>
      </c>
      <c r="C22">
        <v>202502</v>
      </c>
      <c r="D22" t="str">
        <f t="shared" si="0"/>
        <v>2025-02-01</v>
      </c>
    </row>
    <row r="23" spans="1:4" x14ac:dyDescent="0.25">
      <c r="A23" t="s">
        <v>26</v>
      </c>
      <c r="B23">
        <v>231841</v>
      </c>
      <c r="C23">
        <v>202502</v>
      </c>
      <c r="D23" t="str">
        <f t="shared" si="0"/>
        <v>2025-02-01</v>
      </c>
    </row>
    <row r="24" spans="1:4" x14ac:dyDescent="0.25">
      <c r="A24" t="s">
        <v>27</v>
      </c>
      <c r="B24">
        <v>39755</v>
      </c>
      <c r="C24">
        <v>202502</v>
      </c>
      <c r="D24" t="str">
        <f t="shared" si="0"/>
        <v>2025-02-01</v>
      </c>
    </row>
    <row r="25" spans="1:4" x14ac:dyDescent="0.25">
      <c r="A25" t="s">
        <v>25</v>
      </c>
      <c r="B25">
        <v>124293</v>
      </c>
      <c r="C25">
        <v>202503</v>
      </c>
      <c r="D25" t="str">
        <f t="shared" si="0"/>
        <v>2025-03-01</v>
      </c>
    </row>
    <row r="26" spans="1:4" x14ac:dyDescent="0.25">
      <c r="A26" t="s">
        <v>26</v>
      </c>
      <c r="B26">
        <v>236420</v>
      </c>
      <c r="C26">
        <v>202503</v>
      </c>
      <c r="D26" t="str">
        <f t="shared" si="0"/>
        <v>2025-03-01</v>
      </c>
    </row>
    <row r="27" spans="1:4" x14ac:dyDescent="0.25">
      <c r="A27" t="s">
        <v>27</v>
      </c>
      <c r="B27">
        <v>38878</v>
      </c>
      <c r="C27">
        <v>202503</v>
      </c>
      <c r="D27" t="str">
        <f t="shared" si="0"/>
        <v>2025-03-01</v>
      </c>
    </row>
    <row r="28" spans="1:4" x14ac:dyDescent="0.25">
      <c r="A28" t="s">
        <v>25</v>
      </c>
      <c r="B28">
        <v>129054</v>
      </c>
      <c r="C28">
        <v>202504</v>
      </c>
      <c r="D28" t="str">
        <f t="shared" si="0"/>
        <v>2025-04-01</v>
      </c>
    </row>
    <row r="29" spans="1:4" x14ac:dyDescent="0.25">
      <c r="A29" t="s">
        <v>26</v>
      </c>
      <c r="B29">
        <v>238044</v>
      </c>
      <c r="C29">
        <v>202504</v>
      </c>
      <c r="D29" t="str">
        <f t="shared" si="0"/>
        <v>2025-04-01</v>
      </c>
    </row>
    <row r="30" spans="1:4" x14ac:dyDescent="0.25">
      <c r="A30" t="s">
        <v>27</v>
      </c>
      <c r="B30">
        <v>28231</v>
      </c>
      <c r="C30">
        <v>202504</v>
      </c>
      <c r="D30" t="str">
        <f t="shared" si="0"/>
        <v>2025-04-01</v>
      </c>
    </row>
    <row r="31" spans="1:4" x14ac:dyDescent="0.25">
      <c r="A31" t="s">
        <v>25</v>
      </c>
      <c r="B31">
        <v>130542</v>
      </c>
      <c r="C31">
        <v>202505</v>
      </c>
      <c r="D31" t="str">
        <f t="shared" si="0"/>
        <v>2025-05-01</v>
      </c>
    </row>
    <row r="32" spans="1:4" x14ac:dyDescent="0.25">
      <c r="A32" t="s">
        <v>26</v>
      </c>
      <c r="B32">
        <v>244160</v>
      </c>
      <c r="C32">
        <v>202505</v>
      </c>
      <c r="D32" t="str">
        <f t="shared" si="0"/>
        <v>2025-05-01</v>
      </c>
    </row>
    <row r="33" spans="1:4" x14ac:dyDescent="0.25">
      <c r="A33" t="s">
        <v>27</v>
      </c>
      <c r="B33">
        <v>31743</v>
      </c>
      <c r="C33">
        <v>202505</v>
      </c>
      <c r="D33" t="str">
        <f t="shared" si="0"/>
        <v>2025-05-01</v>
      </c>
    </row>
    <row r="34" spans="1:4" x14ac:dyDescent="0.25">
      <c r="A34" t="s">
        <v>25</v>
      </c>
      <c r="B34">
        <v>132238</v>
      </c>
      <c r="C34">
        <v>202506</v>
      </c>
      <c r="D34" t="str">
        <f t="shared" si="0"/>
        <v>2025-06-01</v>
      </c>
    </row>
    <row r="35" spans="1:4" x14ac:dyDescent="0.25">
      <c r="A35" t="s">
        <v>26</v>
      </c>
      <c r="B35">
        <v>246109</v>
      </c>
      <c r="C35">
        <v>202506</v>
      </c>
      <c r="D35" t="str">
        <f t="shared" si="0"/>
        <v>2025-06-01</v>
      </c>
    </row>
    <row r="36" spans="1:4" x14ac:dyDescent="0.25">
      <c r="A36" t="s">
        <v>27</v>
      </c>
      <c r="B36">
        <v>52512</v>
      </c>
      <c r="C36">
        <v>202506</v>
      </c>
      <c r="D36" t="str">
        <f t="shared" si="0"/>
        <v>2025-06-01</v>
      </c>
    </row>
    <row r="37" spans="1:4" x14ac:dyDescent="0.25">
      <c r="A37" t="s">
        <v>25</v>
      </c>
      <c r="B37">
        <v>134479</v>
      </c>
      <c r="C37">
        <v>202507</v>
      </c>
      <c r="D37" t="str">
        <f t="shared" si="0"/>
        <v>2025-07-01</v>
      </c>
    </row>
    <row r="38" spans="1:4" x14ac:dyDescent="0.25">
      <c r="A38" t="s">
        <v>26</v>
      </c>
      <c r="B38">
        <v>245122</v>
      </c>
      <c r="C38">
        <v>202507</v>
      </c>
      <c r="D38" t="str">
        <f t="shared" si="0"/>
        <v>2025-07-01</v>
      </c>
    </row>
    <row r="39" spans="1:4" x14ac:dyDescent="0.25">
      <c r="A39" t="s">
        <v>27</v>
      </c>
      <c r="B39">
        <v>67792</v>
      </c>
      <c r="C39">
        <v>202507</v>
      </c>
      <c r="D39" t="str">
        <f t="shared" si="0"/>
        <v>2025-07-01</v>
      </c>
    </row>
    <row r="40" spans="1:4" x14ac:dyDescent="0.25">
      <c r="A40" t="s">
        <v>25</v>
      </c>
      <c r="B40">
        <v>134330</v>
      </c>
      <c r="C40">
        <v>202508</v>
      </c>
      <c r="D40" t="str">
        <f t="shared" si="0"/>
        <v>2025-08-01</v>
      </c>
    </row>
    <row r="41" spans="1:4" x14ac:dyDescent="0.25">
      <c r="A41" t="s">
        <v>26</v>
      </c>
      <c r="B41">
        <v>246065</v>
      </c>
      <c r="C41">
        <v>202508</v>
      </c>
      <c r="D41" t="str">
        <f t="shared" si="0"/>
        <v>2025-08-01</v>
      </c>
    </row>
    <row r="42" spans="1:4" x14ac:dyDescent="0.25">
      <c r="A42" t="s">
        <v>27</v>
      </c>
      <c r="B42">
        <v>65466</v>
      </c>
      <c r="C42">
        <v>202508</v>
      </c>
      <c r="D42" t="str">
        <f t="shared" si="0"/>
        <v>2025-08-01</v>
      </c>
    </row>
    <row r="43" spans="1:4" x14ac:dyDescent="0.25">
      <c r="A43" t="s">
        <v>35</v>
      </c>
      <c r="B43">
        <v>399591</v>
      </c>
      <c r="C43">
        <v>202503</v>
      </c>
      <c r="D43" t="str">
        <f t="shared" si="0"/>
        <v>2025-03-01</v>
      </c>
    </row>
    <row r="44" spans="1:4" x14ac:dyDescent="0.25">
      <c r="A44" t="s">
        <v>35</v>
      </c>
      <c r="B44">
        <v>395329</v>
      </c>
      <c r="C44">
        <v>202504</v>
      </c>
      <c r="D44" t="str">
        <f t="shared" si="0"/>
        <v>2025-04-01</v>
      </c>
    </row>
    <row r="45" spans="1:4" x14ac:dyDescent="0.25">
      <c r="A45" t="s">
        <v>35</v>
      </c>
      <c r="B45">
        <v>406445</v>
      </c>
      <c r="C45">
        <v>202505</v>
      </c>
      <c r="D45" t="str">
        <f t="shared" si="0"/>
        <v>2025-05-01</v>
      </c>
    </row>
    <row r="46" spans="1:4" x14ac:dyDescent="0.25">
      <c r="A46" t="s">
        <v>35</v>
      </c>
      <c r="B46">
        <v>430859</v>
      </c>
      <c r="C46">
        <v>202506</v>
      </c>
      <c r="D46" t="str">
        <f t="shared" si="0"/>
        <v>2025-06-01</v>
      </c>
    </row>
    <row r="47" spans="1:4" x14ac:dyDescent="0.25">
      <c r="A47" t="s">
        <v>35</v>
      </c>
      <c r="B47">
        <v>447393</v>
      </c>
      <c r="C47">
        <v>202507</v>
      </c>
      <c r="D47" t="str">
        <f t="shared" si="0"/>
        <v>2025-07-01</v>
      </c>
    </row>
    <row r="48" spans="1:4" x14ac:dyDescent="0.25">
      <c r="A48" t="s">
        <v>35</v>
      </c>
      <c r="B48">
        <v>445861</v>
      </c>
      <c r="C48">
        <v>202508</v>
      </c>
      <c r="D48" t="str">
        <f t="shared" si="0"/>
        <v>2025-08-01</v>
      </c>
    </row>
    <row r="49" spans="1:4" x14ac:dyDescent="0.25">
      <c r="A49" t="s">
        <v>35</v>
      </c>
      <c r="B49">
        <v>394497</v>
      </c>
      <c r="C49">
        <v>202502</v>
      </c>
      <c r="D49" t="str">
        <f t="shared" si="0"/>
        <v>2025-02-01</v>
      </c>
    </row>
    <row r="50" spans="1:4" x14ac:dyDescent="0.25">
      <c r="A50" t="s">
        <v>35</v>
      </c>
      <c r="B50">
        <v>394782</v>
      </c>
      <c r="C50">
        <v>202501</v>
      </c>
      <c r="D50" t="str">
        <f t="shared" si="0"/>
        <v>2025-01-01</v>
      </c>
    </row>
    <row r="51" spans="1:4" x14ac:dyDescent="0.25">
      <c r="A51" t="s">
        <v>35</v>
      </c>
      <c r="B51">
        <v>385489</v>
      </c>
      <c r="C51">
        <v>202412</v>
      </c>
      <c r="D51" t="str">
        <f t="shared" si="0"/>
        <v>2024-12-01</v>
      </c>
    </row>
    <row r="52" spans="1:4" x14ac:dyDescent="0.25">
      <c r="A52" t="s">
        <v>35</v>
      </c>
      <c r="B52">
        <v>374938</v>
      </c>
      <c r="C52">
        <v>202411</v>
      </c>
      <c r="D52" t="str">
        <f t="shared" si="0"/>
        <v>2024-11-01</v>
      </c>
    </row>
    <row r="53" spans="1:4" x14ac:dyDescent="0.25">
      <c r="A53" t="s">
        <v>35</v>
      </c>
      <c r="B53">
        <v>391056</v>
      </c>
      <c r="C53">
        <v>202410</v>
      </c>
      <c r="D53" t="str">
        <f t="shared" si="0"/>
        <v>2024-10-01</v>
      </c>
    </row>
    <row r="54" spans="1:4" x14ac:dyDescent="0.25">
      <c r="A54" t="s">
        <v>35</v>
      </c>
      <c r="B54">
        <v>519679</v>
      </c>
      <c r="C54">
        <v>202409</v>
      </c>
      <c r="D54" t="str">
        <f t="shared" si="0"/>
        <v>2024-09-01</v>
      </c>
    </row>
    <row r="55" spans="1:4" x14ac:dyDescent="0.25">
      <c r="A55" t="s">
        <v>35</v>
      </c>
      <c r="B55">
        <v>538423</v>
      </c>
      <c r="C55">
        <v>202408</v>
      </c>
      <c r="D55" t="str">
        <f t="shared" si="0"/>
        <v>2024-08-01</v>
      </c>
    </row>
    <row r="56" spans="1:4" x14ac:dyDescent="0.25">
      <c r="A56" t="s">
        <v>36</v>
      </c>
      <c r="B56">
        <v>1.7093052646330871</v>
      </c>
      <c r="C56">
        <v>202503</v>
      </c>
      <c r="D56" t="str">
        <f t="shared" si="0"/>
        <v>2025-03-01</v>
      </c>
    </row>
    <row r="57" spans="1:4" x14ac:dyDescent="0.25">
      <c r="A57" t="s">
        <v>36</v>
      </c>
      <c r="B57">
        <v>2.1357350459996609</v>
      </c>
      <c r="C57">
        <v>202504</v>
      </c>
      <c r="D57" t="str">
        <f t="shared" si="0"/>
        <v>2025-04-01</v>
      </c>
    </row>
    <row r="58" spans="1:4" x14ac:dyDescent="0.25">
      <c r="A58" t="s">
        <v>36</v>
      </c>
      <c r="B58">
        <v>2.6146415874226525</v>
      </c>
      <c r="C58">
        <v>202505</v>
      </c>
      <c r="D58" t="str">
        <f t="shared" si="0"/>
        <v>2025-05-01</v>
      </c>
    </row>
    <row r="59" spans="1:4" x14ac:dyDescent="0.25">
      <c r="A59" t="s">
        <v>36</v>
      </c>
      <c r="B59">
        <v>2.3737278320749944</v>
      </c>
      <c r="C59">
        <v>202506</v>
      </c>
      <c r="D59" t="str">
        <f t="shared" si="0"/>
        <v>2025-06-01</v>
      </c>
    </row>
    <row r="60" spans="1:4" x14ac:dyDescent="0.25">
      <c r="A60" t="s">
        <v>36</v>
      </c>
      <c r="B60">
        <v>1.8366469748073841</v>
      </c>
      <c r="C60">
        <v>202507</v>
      </c>
      <c r="D60" t="str">
        <f t="shared" si="0"/>
        <v>2025-07-01</v>
      </c>
    </row>
    <row r="61" spans="1:4" x14ac:dyDescent="0.25">
      <c r="A61" t="s">
        <v>36</v>
      </c>
      <c r="B61">
        <v>2.141974741006726</v>
      </c>
      <c r="C61">
        <v>202508</v>
      </c>
      <c r="D61" t="str">
        <f t="shared" si="0"/>
        <v>2025-08-01</v>
      </c>
    </row>
  </sheetData>
  <sortState xmlns:xlrd2="http://schemas.microsoft.com/office/spreadsheetml/2017/richdata2" ref="A2:C44">
    <sortCondition ref="C2:C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E44D-EACC-4BAD-BD85-D98EC773CA75}">
  <dimension ref="A1:F7"/>
  <sheetViews>
    <sheetView workbookViewId="0">
      <selection activeCell="D2" sqref="D2:D7"/>
    </sheetView>
  </sheetViews>
  <sheetFormatPr defaultRowHeight="15" x14ac:dyDescent="0.25"/>
  <cols>
    <col min="2" max="2" width="10.85546875" bestFit="1" customWidth="1"/>
    <col min="3" max="3" width="11.5703125" bestFit="1" customWidth="1"/>
  </cols>
  <sheetData>
    <row r="1" spans="1:6" x14ac:dyDescent="0.25">
      <c r="A1" t="s">
        <v>0</v>
      </c>
      <c r="B1" t="s">
        <v>29</v>
      </c>
      <c r="C1" t="s">
        <v>30</v>
      </c>
      <c r="D1" t="s">
        <v>32</v>
      </c>
      <c r="E1" t="s">
        <v>33</v>
      </c>
      <c r="F1" t="s">
        <v>34</v>
      </c>
    </row>
    <row r="2" spans="1:6" x14ac:dyDescent="0.25">
      <c r="A2">
        <v>202503</v>
      </c>
      <c r="B2">
        <v>6830.23</v>
      </c>
      <c r="C2">
        <v>399591</v>
      </c>
      <c r="D2">
        <f>(B2/C2)*100</f>
        <v>1.7093052646330871</v>
      </c>
      <c r="E2">
        <f>((C2-B2)/C2)*100</f>
        <v>98.290694735366912</v>
      </c>
      <c r="F2">
        <f>100-E2</f>
        <v>1.7093052646330875</v>
      </c>
    </row>
    <row r="3" spans="1:6" x14ac:dyDescent="0.25">
      <c r="A3">
        <v>202504</v>
      </c>
      <c r="B3">
        <v>8443.18</v>
      </c>
      <c r="C3">
        <v>395329</v>
      </c>
      <c r="D3">
        <f t="shared" ref="D3:D7" si="0">(B3/C3)*100</f>
        <v>2.1357350459996609</v>
      </c>
      <c r="E3">
        <f t="shared" ref="E3:E7" si="1">((C3-B3)/C3)*100</f>
        <v>97.864264954000348</v>
      </c>
      <c r="F3">
        <f t="shared" ref="F3:F7" si="2">100-E3</f>
        <v>2.1357350459996525</v>
      </c>
    </row>
    <row r="4" spans="1:6" x14ac:dyDescent="0.25">
      <c r="A4">
        <v>202505</v>
      </c>
      <c r="B4">
        <v>10627.08</v>
      </c>
      <c r="C4">
        <v>406445</v>
      </c>
      <c r="D4">
        <f t="shared" si="0"/>
        <v>2.6146415874226525</v>
      </c>
      <c r="E4">
        <f t="shared" si="1"/>
        <v>97.385358412577332</v>
      </c>
      <c r="F4">
        <f t="shared" si="2"/>
        <v>2.6146415874226676</v>
      </c>
    </row>
    <row r="5" spans="1:6" x14ac:dyDescent="0.25">
      <c r="A5">
        <v>202506</v>
      </c>
      <c r="B5">
        <v>10227.42</v>
      </c>
      <c r="C5">
        <v>430859</v>
      </c>
      <c r="D5">
        <f t="shared" si="0"/>
        <v>2.3737278320749944</v>
      </c>
      <c r="E5">
        <f t="shared" si="1"/>
        <v>97.626272167925009</v>
      </c>
      <c r="F5">
        <f t="shared" si="2"/>
        <v>2.3737278320749908</v>
      </c>
    </row>
    <row r="6" spans="1:6" x14ac:dyDescent="0.25">
      <c r="A6">
        <v>202507</v>
      </c>
      <c r="B6">
        <v>8217.0300000000007</v>
      </c>
      <c r="C6">
        <v>447393</v>
      </c>
      <c r="D6">
        <f t="shared" si="0"/>
        <v>1.8366469748073841</v>
      </c>
      <c r="E6">
        <f t="shared" si="1"/>
        <v>98.163353025192606</v>
      </c>
      <c r="F6">
        <f t="shared" si="2"/>
        <v>1.8366469748073939</v>
      </c>
    </row>
    <row r="7" spans="1:6" x14ac:dyDescent="0.25">
      <c r="A7">
        <v>202508</v>
      </c>
      <c r="B7">
        <v>9550.23</v>
      </c>
      <c r="C7">
        <v>445861</v>
      </c>
      <c r="D7">
        <f t="shared" si="0"/>
        <v>2.141974741006726</v>
      </c>
      <c r="E7">
        <f t="shared" si="1"/>
        <v>97.85802525899328</v>
      </c>
      <c r="F7">
        <f t="shared" si="2"/>
        <v>2.1419747410067203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Spend</vt:lpstr>
      <vt:lpstr>Wealth</vt:lpstr>
      <vt:lpstr>Ratio</vt:lpstr>
    </vt:vector>
  </TitlesOfParts>
  <Company>OpenText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Geff Vitale</dc:creator>
  <cp:lastModifiedBy>Geff Vitale</cp:lastModifiedBy>
  <dcterms:created xsi:type="dcterms:W3CDTF">2025-09-11T18:19:09Z</dcterms:created>
  <dcterms:modified xsi:type="dcterms:W3CDTF">2025-10-06T18:25:07Z</dcterms:modified>
</cp:coreProperties>
</file>